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Download\"/>
    </mc:Choice>
  </mc:AlternateContent>
  <xr:revisionPtr revIDLastSave="0" documentId="13_ncr:1_{DD47457B-304D-4882-9092-FF77E15462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_Dados" sheetId="1" r:id="rId1"/>
    <sheet name="KPIs" sheetId="2" r:id="rId2"/>
    <sheet name="Dashboard_Model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5" i="4"/>
  <c r="B3" i="2"/>
  <c r="B2" i="2"/>
  <c r="B4" i="2" l="1"/>
  <c r="C9" i="4" s="1"/>
</calcChain>
</file>

<file path=xl/sharedStrings.xml><?xml version="1.0" encoding="utf-8"?>
<sst xmlns="http://schemas.openxmlformats.org/spreadsheetml/2006/main" count="142" uniqueCount="21">
  <si>
    <t>Data_Venda</t>
  </si>
  <si>
    <t>Marca</t>
  </si>
  <si>
    <t>Modelo</t>
  </si>
  <si>
    <t>Ano</t>
  </si>
  <si>
    <t>Valor_FIPE</t>
  </si>
  <si>
    <t>Quantidade</t>
  </si>
  <si>
    <t>Faturamento</t>
  </si>
  <si>
    <t>Peugeot</t>
  </si>
  <si>
    <t>Peugeot 307</t>
  </si>
  <si>
    <t>Peugeot 208</t>
  </si>
  <si>
    <t>Peugeot 207</t>
  </si>
  <si>
    <t>Indicador</t>
  </si>
  <si>
    <t>Valor</t>
  </si>
  <si>
    <t>Faturamento Total</t>
  </si>
  <si>
    <t>Total Veículos Vendidos</t>
  </si>
  <si>
    <t>Ticket Médio</t>
  </si>
  <si>
    <t>PEUGEOT - DASHBOARD DE VENDAS</t>
  </si>
  <si>
    <t>Período: 2024</t>
  </si>
  <si>
    <t>FATURAMENTO TOTAL</t>
  </si>
  <si>
    <t>VEÍCULOS VENDIDOS</t>
  </si>
  <si>
    <t>TICKET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</si>
</sst>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Faturamento por Modelo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Dashboard_Modelo!$F$5</c:f>
              <c:strCache>
                <c:ptCount val="1"/>
                <c:pt idx="0">
                  <c:v>Faturamento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Dashboard_Modelo!$E$6:$E$8</c:f>
              <c:strCache>
                <c:ptCount val="3"/>
                <c:pt idx="0">
                  <c:v>Peugeot 307</c:v>
                </c:pt>
                <c:pt idx="1">
                  <c:v>Peugeot 208</c:v>
                </c:pt>
                <c:pt idx="2">
                  <c:v>Peugeot 207</c:v>
                </c:pt>
              </c:strCache>
            </c:strRef>
          </c:cat>
          <c:val>
            <c:numRef>
              <c:f>Dashboard_Modelo!$F$6:$F$8</c:f>
              <c:numCache>
                <c:formatCode>General</c:formatCode>
                <c:ptCount val="3"/>
                <c:pt idx="0">
                  <c:v>1406000</c:v>
                </c:pt>
                <c:pt idx="1">
                  <c:v>2365000</c:v>
                </c:pt>
                <c:pt idx="2">
                  <c:v>1596000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C-4D96-9EA5-2DAE0EAD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Modelo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1200150</xdr:colOff>
      <xdr:row>12</xdr:row>
      <xdr:rowOff>180975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asPeugeot" displayName="VendasPeugeot" ref="A1:G61">
  <autoFilter ref="A1:G61" xr:uid="{00000000-0009-0000-0100-000001000000}"/>
  <tableColumns count="7">
    <tableColumn id="1" xr3:uid="{00000000-0010-0000-0000-000001000000}" name="Data_Venda"/>
    <tableColumn id="2" xr3:uid="{00000000-0010-0000-0000-000002000000}" name="Marca"/>
    <tableColumn id="3" xr3:uid="{00000000-0010-0000-0000-000003000000}" name="Modelo"/>
    <tableColumn id="4" xr3:uid="{00000000-0010-0000-0000-000004000000}" name="Ano"/>
    <tableColumn id="5" xr3:uid="{00000000-0010-0000-0000-000005000000}" name="Valor_FIPE"/>
    <tableColumn id="6" xr3:uid="{00000000-0010-0000-0000-000006000000}" name="Quantidade"/>
    <tableColumn id="7" xr3:uid="{00000000-0010-0000-0000-000007000000}" name="Fatur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/>
  </sheetViews>
  <sheetFormatPr defaultRowHeight="15" x14ac:dyDescent="0.25"/>
  <cols>
    <col min="1" max="1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45464</v>
      </c>
      <c r="B2" t="s">
        <v>7</v>
      </c>
      <c r="C2" t="s">
        <v>8</v>
      </c>
      <c r="D2">
        <v>2021</v>
      </c>
      <c r="E2">
        <v>38000</v>
      </c>
      <c r="F2">
        <v>3</v>
      </c>
      <c r="G2">
        <v>114000</v>
      </c>
    </row>
    <row r="3" spans="1:7" x14ac:dyDescent="0.25">
      <c r="A3" s="1">
        <v>45401</v>
      </c>
      <c r="B3" t="s">
        <v>7</v>
      </c>
      <c r="C3" t="s">
        <v>8</v>
      </c>
      <c r="D3">
        <v>2020</v>
      </c>
      <c r="E3">
        <v>38000</v>
      </c>
      <c r="F3">
        <v>1</v>
      </c>
      <c r="G3">
        <v>38000</v>
      </c>
    </row>
    <row r="4" spans="1:7" x14ac:dyDescent="0.25">
      <c r="A4" s="1">
        <v>45544</v>
      </c>
      <c r="B4" t="s">
        <v>7</v>
      </c>
      <c r="C4" t="s">
        <v>9</v>
      </c>
      <c r="D4">
        <v>2017</v>
      </c>
      <c r="E4">
        <v>55000</v>
      </c>
      <c r="F4">
        <v>2</v>
      </c>
      <c r="G4">
        <v>110000</v>
      </c>
    </row>
    <row r="5" spans="1:7" x14ac:dyDescent="0.25">
      <c r="A5" s="1">
        <v>45430</v>
      </c>
      <c r="B5" t="s">
        <v>7</v>
      </c>
      <c r="C5" t="s">
        <v>8</v>
      </c>
      <c r="D5">
        <v>2018</v>
      </c>
      <c r="E5">
        <v>38000</v>
      </c>
      <c r="F5">
        <v>3</v>
      </c>
      <c r="G5">
        <v>114000</v>
      </c>
    </row>
    <row r="6" spans="1:7" x14ac:dyDescent="0.25">
      <c r="A6" s="1">
        <v>45373</v>
      </c>
      <c r="B6" t="s">
        <v>7</v>
      </c>
      <c r="C6" t="s">
        <v>9</v>
      </c>
      <c r="D6">
        <v>2019</v>
      </c>
      <c r="E6">
        <v>55000</v>
      </c>
      <c r="F6">
        <v>2</v>
      </c>
      <c r="G6">
        <v>110000</v>
      </c>
    </row>
    <row r="7" spans="1:7" x14ac:dyDescent="0.25">
      <c r="A7" s="1">
        <v>45522</v>
      </c>
      <c r="B7" t="s">
        <v>7</v>
      </c>
      <c r="C7" t="s">
        <v>8</v>
      </c>
      <c r="D7">
        <v>2021</v>
      </c>
      <c r="E7">
        <v>38000</v>
      </c>
      <c r="F7">
        <v>1</v>
      </c>
      <c r="G7">
        <v>38000</v>
      </c>
    </row>
    <row r="8" spans="1:7" x14ac:dyDescent="0.25">
      <c r="A8" s="1">
        <v>45352</v>
      </c>
      <c r="B8" t="s">
        <v>7</v>
      </c>
      <c r="C8" t="s">
        <v>10</v>
      </c>
      <c r="D8">
        <v>2019</v>
      </c>
      <c r="E8">
        <v>42000</v>
      </c>
      <c r="F8">
        <v>1</v>
      </c>
      <c r="G8">
        <v>42000</v>
      </c>
    </row>
    <row r="9" spans="1:7" x14ac:dyDescent="0.25">
      <c r="A9" s="1">
        <v>45470</v>
      </c>
      <c r="B9" t="s">
        <v>7</v>
      </c>
      <c r="C9" t="s">
        <v>9</v>
      </c>
      <c r="D9">
        <v>2021</v>
      </c>
      <c r="E9">
        <v>55000</v>
      </c>
      <c r="F9">
        <v>1</v>
      </c>
      <c r="G9">
        <v>55000</v>
      </c>
    </row>
    <row r="10" spans="1:7" x14ac:dyDescent="0.25">
      <c r="A10" s="1">
        <v>45374</v>
      </c>
      <c r="B10" t="s">
        <v>7</v>
      </c>
      <c r="C10" t="s">
        <v>10</v>
      </c>
      <c r="D10">
        <v>2023</v>
      </c>
      <c r="E10">
        <v>42000</v>
      </c>
      <c r="F10">
        <v>3</v>
      </c>
      <c r="G10">
        <v>126000</v>
      </c>
    </row>
    <row r="11" spans="1:7" x14ac:dyDescent="0.25">
      <c r="A11" s="1">
        <v>45635</v>
      </c>
      <c r="B11" t="s">
        <v>7</v>
      </c>
      <c r="C11" t="s">
        <v>10</v>
      </c>
      <c r="D11">
        <v>2017</v>
      </c>
      <c r="E11">
        <v>42000</v>
      </c>
      <c r="F11">
        <v>1</v>
      </c>
      <c r="G11">
        <v>42000</v>
      </c>
    </row>
    <row r="12" spans="1:7" x14ac:dyDescent="0.25">
      <c r="A12" s="1">
        <v>45638</v>
      </c>
      <c r="B12" t="s">
        <v>7</v>
      </c>
      <c r="C12" t="s">
        <v>8</v>
      </c>
      <c r="D12">
        <v>2016</v>
      </c>
      <c r="E12">
        <v>38000</v>
      </c>
      <c r="F12">
        <v>2</v>
      </c>
      <c r="G12">
        <v>76000</v>
      </c>
    </row>
    <row r="13" spans="1:7" x14ac:dyDescent="0.25">
      <c r="A13" s="1">
        <v>45372</v>
      </c>
      <c r="B13" t="s">
        <v>7</v>
      </c>
      <c r="C13" t="s">
        <v>10</v>
      </c>
      <c r="D13">
        <v>2016</v>
      </c>
      <c r="E13">
        <v>42000</v>
      </c>
      <c r="F13">
        <v>2</v>
      </c>
      <c r="G13">
        <v>84000</v>
      </c>
    </row>
    <row r="14" spans="1:7" x14ac:dyDescent="0.25">
      <c r="A14" s="1">
        <v>45654</v>
      </c>
      <c r="B14" t="s">
        <v>7</v>
      </c>
      <c r="C14" t="s">
        <v>10</v>
      </c>
      <c r="D14">
        <v>2023</v>
      </c>
      <c r="E14">
        <v>42000</v>
      </c>
      <c r="F14">
        <v>2</v>
      </c>
      <c r="G14">
        <v>84000</v>
      </c>
    </row>
    <row r="15" spans="1:7" x14ac:dyDescent="0.25">
      <c r="A15" s="1">
        <v>45319</v>
      </c>
      <c r="B15" t="s">
        <v>7</v>
      </c>
      <c r="C15" t="s">
        <v>8</v>
      </c>
      <c r="D15">
        <v>2023</v>
      </c>
      <c r="E15">
        <v>38000</v>
      </c>
      <c r="F15">
        <v>3</v>
      </c>
      <c r="G15">
        <v>114000</v>
      </c>
    </row>
    <row r="16" spans="1:7" x14ac:dyDescent="0.25">
      <c r="A16" s="1">
        <v>45476</v>
      </c>
      <c r="B16" t="s">
        <v>7</v>
      </c>
      <c r="C16" t="s">
        <v>9</v>
      </c>
      <c r="D16">
        <v>2017</v>
      </c>
      <c r="E16">
        <v>55000</v>
      </c>
      <c r="F16">
        <v>1</v>
      </c>
      <c r="G16">
        <v>55000</v>
      </c>
    </row>
    <row r="17" spans="1:7" x14ac:dyDescent="0.25">
      <c r="A17" s="1">
        <v>45383</v>
      </c>
      <c r="B17" t="s">
        <v>7</v>
      </c>
      <c r="C17" t="s">
        <v>10</v>
      </c>
      <c r="D17">
        <v>2016</v>
      </c>
      <c r="E17">
        <v>42000</v>
      </c>
      <c r="F17">
        <v>1</v>
      </c>
      <c r="G17">
        <v>42000</v>
      </c>
    </row>
    <row r="18" spans="1:7" x14ac:dyDescent="0.25">
      <c r="A18" s="1">
        <v>45428</v>
      </c>
      <c r="B18" t="s">
        <v>7</v>
      </c>
      <c r="C18" t="s">
        <v>9</v>
      </c>
      <c r="D18">
        <v>2023</v>
      </c>
      <c r="E18">
        <v>55000</v>
      </c>
      <c r="F18">
        <v>2</v>
      </c>
      <c r="G18">
        <v>110000</v>
      </c>
    </row>
    <row r="19" spans="1:7" x14ac:dyDescent="0.25">
      <c r="A19" s="1">
        <v>45452</v>
      </c>
      <c r="B19" t="s">
        <v>7</v>
      </c>
      <c r="C19" t="s">
        <v>9</v>
      </c>
      <c r="D19">
        <v>2022</v>
      </c>
      <c r="E19">
        <v>55000</v>
      </c>
      <c r="F19">
        <v>3</v>
      </c>
      <c r="G19">
        <v>165000</v>
      </c>
    </row>
    <row r="20" spans="1:7" x14ac:dyDescent="0.25">
      <c r="A20" s="1">
        <v>45374</v>
      </c>
      <c r="B20" t="s">
        <v>7</v>
      </c>
      <c r="C20" t="s">
        <v>9</v>
      </c>
      <c r="D20">
        <v>2021</v>
      </c>
      <c r="E20">
        <v>55000</v>
      </c>
      <c r="F20">
        <v>1</v>
      </c>
      <c r="G20">
        <v>55000</v>
      </c>
    </row>
    <row r="21" spans="1:7" x14ac:dyDescent="0.25">
      <c r="A21" s="1">
        <v>45378</v>
      </c>
      <c r="B21" t="s">
        <v>7</v>
      </c>
      <c r="C21" t="s">
        <v>9</v>
      </c>
      <c r="D21">
        <v>2015</v>
      </c>
      <c r="E21">
        <v>55000</v>
      </c>
      <c r="F21">
        <v>1</v>
      </c>
      <c r="G21">
        <v>55000</v>
      </c>
    </row>
    <row r="22" spans="1:7" x14ac:dyDescent="0.25">
      <c r="A22" s="1">
        <v>45507</v>
      </c>
      <c r="B22" t="s">
        <v>7</v>
      </c>
      <c r="C22" t="s">
        <v>10</v>
      </c>
      <c r="D22">
        <v>2018</v>
      </c>
      <c r="E22">
        <v>42000</v>
      </c>
      <c r="F22">
        <v>3</v>
      </c>
      <c r="G22">
        <v>126000</v>
      </c>
    </row>
    <row r="23" spans="1:7" x14ac:dyDescent="0.25">
      <c r="A23" s="1">
        <v>45597</v>
      </c>
      <c r="B23" t="s">
        <v>7</v>
      </c>
      <c r="C23" t="s">
        <v>10</v>
      </c>
      <c r="D23">
        <v>2023</v>
      </c>
      <c r="E23">
        <v>42000</v>
      </c>
      <c r="F23">
        <v>2</v>
      </c>
      <c r="G23">
        <v>84000</v>
      </c>
    </row>
    <row r="24" spans="1:7" x14ac:dyDescent="0.25">
      <c r="A24" s="1">
        <v>45370</v>
      </c>
      <c r="B24" t="s">
        <v>7</v>
      </c>
      <c r="C24" t="s">
        <v>10</v>
      </c>
      <c r="D24">
        <v>2018</v>
      </c>
      <c r="E24">
        <v>42000</v>
      </c>
      <c r="F24">
        <v>2</v>
      </c>
      <c r="G24">
        <v>84000</v>
      </c>
    </row>
    <row r="25" spans="1:7" x14ac:dyDescent="0.25">
      <c r="A25" s="1">
        <v>45463</v>
      </c>
      <c r="B25" t="s">
        <v>7</v>
      </c>
      <c r="C25" t="s">
        <v>9</v>
      </c>
      <c r="D25">
        <v>2020</v>
      </c>
      <c r="E25">
        <v>55000</v>
      </c>
      <c r="F25">
        <v>3</v>
      </c>
      <c r="G25">
        <v>165000</v>
      </c>
    </row>
    <row r="26" spans="1:7" x14ac:dyDescent="0.25">
      <c r="A26" s="1">
        <v>45343</v>
      </c>
      <c r="B26" t="s">
        <v>7</v>
      </c>
      <c r="C26" t="s">
        <v>8</v>
      </c>
      <c r="D26">
        <v>2015</v>
      </c>
      <c r="E26">
        <v>38000</v>
      </c>
      <c r="F26">
        <v>1</v>
      </c>
      <c r="G26">
        <v>38000</v>
      </c>
    </row>
    <row r="27" spans="1:7" x14ac:dyDescent="0.25">
      <c r="A27" s="1">
        <v>45300</v>
      </c>
      <c r="B27" t="s">
        <v>7</v>
      </c>
      <c r="C27" t="s">
        <v>9</v>
      </c>
      <c r="D27">
        <v>2015</v>
      </c>
      <c r="E27">
        <v>55000</v>
      </c>
      <c r="F27">
        <v>3</v>
      </c>
      <c r="G27">
        <v>165000</v>
      </c>
    </row>
    <row r="28" spans="1:7" x14ac:dyDescent="0.25">
      <c r="A28" s="1">
        <v>45440</v>
      </c>
      <c r="B28" t="s">
        <v>7</v>
      </c>
      <c r="C28" t="s">
        <v>8</v>
      </c>
      <c r="D28">
        <v>2016</v>
      </c>
      <c r="E28">
        <v>38000</v>
      </c>
      <c r="F28">
        <v>2</v>
      </c>
      <c r="G28">
        <v>76000</v>
      </c>
    </row>
    <row r="29" spans="1:7" x14ac:dyDescent="0.25">
      <c r="A29" s="1">
        <v>45323</v>
      </c>
      <c r="B29" t="s">
        <v>7</v>
      </c>
      <c r="C29" t="s">
        <v>8</v>
      </c>
      <c r="D29">
        <v>2018</v>
      </c>
      <c r="E29">
        <v>38000</v>
      </c>
      <c r="F29">
        <v>3</v>
      </c>
      <c r="G29">
        <v>114000</v>
      </c>
    </row>
    <row r="30" spans="1:7" x14ac:dyDescent="0.25">
      <c r="A30" s="1">
        <v>45406</v>
      </c>
      <c r="B30" t="s">
        <v>7</v>
      </c>
      <c r="C30" t="s">
        <v>9</v>
      </c>
      <c r="D30">
        <v>2018</v>
      </c>
      <c r="E30">
        <v>55000</v>
      </c>
      <c r="F30">
        <v>3</v>
      </c>
      <c r="G30">
        <v>165000</v>
      </c>
    </row>
    <row r="31" spans="1:7" x14ac:dyDescent="0.25">
      <c r="A31" s="1">
        <v>45330</v>
      </c>
      <c r="B31" t="s">
        <v>7</v>
      </c>
      <c r="C31" t="s">
        <v>10</v>
      </c>
      <c r="D31">
        <v>2018</v>
      </c>
      <c r="E31">
        <v>42000</v>
      </c>
      <c r="F31">
        <v>2</v>
      </c>
      <c r="G31">
        <v>84000</v>
      </c>
    </row>
    <row r="32" spans="1:7" x14ac:dyDescent="0.25">
      <c r="A32" s="1">
        <v>45307</v>
      </c>
      <c r="B32" t="s">
        <v>7</v>
      </c>
      <c r="C32" t="s">
        <v>8</v>
      </c>
      <c r="D32">
        <v>2023</v>
      </c>
      <c r="E32">
        <v>38000</v>
      </c>
      <c r="F32">
        <v>3</v>
      </c>
      <c r="G32">
        <v>114000</v>
      </c>
    </row>
    <row r="33" spans="1:7" x14ac:dyDescent="0.25">
      <c r="A33" s="1">
        <v>45499</v>
      </c>
      <c r="B33" t="s">
        <v>7</v>
      </c>
      <c r="C33" t="s">
        <v>9</v>
      </c>
      <c r="D33">
        <v>2016</v>
      </c>
      <c r="E33">
        <v>55000</v>
      </c>
      <c r="F33">
        <v>3</v>
      </c>
      <c r="G33">
        <v>165000</v>
      </c>
    </row>
    <row r="34" spans="1:7" x14ac:dyDescent="0.25">
      <c r="A34" s="1">
        <v>45640</v>
      </c>
      <c r="B34" t="s">
        <v>7</v>
      </c>
      <c r="C34" t="s">
        <v>10</v>
      </c>
      <c r="D34">
        <v>2019</v>
      </c>
      <c r="E34">
        <v>42000</v>
      </c>
      <c r="F34">
        <v>1</v>
      </c>
      <c r="G34">
        <v>42000</v>
      </c>
    </row>
    <row r="35" spans="1:7" x14ac:dyDescent="0.25">
      <c r="A35" s="1">
        <v>45645</v>
      </c>
      <c r="B35" t="s">
        <v>7</v>
      </c>
      <c r="C35" t="s">
        <v>9</v>
      </c>
      <c r="D35">
        <v>2019</v>
      </c>
      <c r="E35">
        <v>55000</v>
      </c>
      <c r="F35">
        <v>2</v>
      </c>
      <c r="G35">
        <v>110000</v>
      </c>
    </row>
    <row r="36" spans="1:7" x14ac:dyDescent="0.25">
      <c r="A36" s="1">
        <v>45643</v>
      </c>
      <c r="B36" t="s">
        <v>7</v>
      </c>
      <c r="C36" t="s">
        <v>10</v>
      </c>
      <c r="D36">
        <v>2017</v>
      </c>
      <c r="E36">
        <v>42000</v>
      </c>
      <c r="F36">
        <v>1</v>
      </c>
      <c r="G36">
        <v>42000</v>
      </c>
    </row>
    <row r="37" spans="1:7" x14ac:dyDescent="0.25">
      <c r="A37" s="1">
        <v>45407</v>
      </c>
      <c r="B37" t="s">
        <v>7</v>
      </c>
      <c r="C37" t="s">
        <v>8</v>
      </c>
      <c r="D37">
        <v>2016</v>
      </c>
      <c r="E37">
        <v>38000</v>
      </c>
      <c r="F37">
        <v>1</v>
      </c>
      <c r="G37">
        <v>38000</v>
      </c>
    </row>
    <row r="38" spans="1:7" x14ac:dyDescent="0.25">
      <c r="A38" s="1">
        <v>45485</v>
      </c>
      <c r="B38" t="s">
        <v>7</v>
      </c>
      <c r="C38" t="s">
        <v>8</v>
      </c>
      <c r="D38">
        <v>2017</v>
      </c>
      <c r="E38">
        <v>38000</v>
      </c>
      <c r="F38">
        <v>2</v>
      </c>
      <c r="G38">
        <v>76000</v>
      </c>
    </row>
    <row r="39" spans="1:7" x14ac:dyDescent="0.25">
      <c r="A39" s="1">
        <v>45578</v>
      </c>
      <c r="B39" t="s">
        <v>7</v>
      </c>
      <c r="C39" t="s">
        <v>8</v>
      </c>
      <c r="D39">
        <v>2023</v>
      </c>
      <c r="E39">
        <v>38000</v>
      </c>
      <c r="F39">
        <v>2</v>
      </c>
      <c r="G39">
        <v>76000</v>
      </c>
    </row>
    <row r="40" spans="1:7" x14ac:dyDescent="0.25">
      <c r="A40" s="1">
        <v>45426</v>
      </c>
      <c r="B40" t="s">
        <v>7</v>
      </c>
      <c r="C40" t="s">
        <v>9</v>
      </c>
      <c r="D40">
        <v>2015</v>
      </c>
      <c r="E40">
        <v>55000</v>
      </c>
      <c r="F40">
        <v>2</v>
      </c>
      <c r="G40">
        <v>110000</v>
      </c>
    </row>
    <row r="41" spans="1:7" x14ac:dyDescent="0.25">
      <c r="A41" s="1">
        <v>45485</v>
      </c>
      <c r="B41" t="s">
        <v>7</v>
      </c>
      <c r="C41" t="s">
        <v>10</v>
      </c>
      <c r="D41">
        <v>2017</v>
      </c>
      <c r="E41">
        <v>42000</v>
      </c>
      <c r="F41">
        <v>1</v>
      </c>
      <c r="G41">
        <v>42000</v>
      </c>
    </row>
    <row r="42" spans="1:7" x14ac:dyDescent="0.25">
      <c r="A42" s="1">
        <v>45330</v>
      </c>
      <c r="B42" t="s">
        <v>7</v>
      </c>
      <c r="C42" t="s">
        <v>9</v>
      </c>
      <c r="D42">
        <v>2019</v>
      </c>
      <c r="E42">
        <v>55000</v>
      </c>
      <c r="F42">
        <v>1</v>
      </c>
      <c r="G42">
        <v>55000</v>
      </c>
    </row>
    <row r="43" spans="1:7" x14ac:dyDescent="0.25">
      <c r="A43" s="1">
        <v>45372</v>
      </c>
      <c r="B43" t="s">
        <v>7</v>
      </c>
      <c r="C43" t="s">
        <v>9</v>
      </c>
      <c r="D43">
        <v>2023</v>
      </c>
      <c r="E43">
        <v>55000</v>
      </c>
      <c r="F43">
        <v>2</v>
      </c>
      <c r="G43">
        <v>110000</v>
      </c>
    </row>
    <row r="44" spans="1:7" x14ac:dyDescent="0.25">
      <c r="A44" s="1">
        <v>45544</v>
      </c>
      <c r="B44" t="s">
        <v>7</v>
      </c>
      <c r="C44" t="s">
        <v>10</v>
      </c>
      <c r="D44">
        <v>2021</v>
      </c>
      <c r="E44">
        <v>42000</v>
      </c>
      <c r="F44">
        <v>1</v>
      </c>
      <c r="G44">
        <v>42000</v>
      </c>
    </row>
    <row r="45" spans="1:7" x14ac:dyDescent="0.25">
      <c r="A45" s="1">
        <v>45356</v>
      </c>
      <c r="B45" t="s">
        <v>7</v>
      </c>
      <c r="C45" t="s">
        <v>8</v>
      </c>
      <c r="D45">
        <v>2021</v>
      </c>
      <c r="E45">
        <v>38000</v>
      </c>
      <c r="F45">
        <v>1</v>
      </c>
      <c r="G45">
        <v>38000</v>
      </c>
    </row>
    <row r="46" spans="1:7" x14ac:dyDescent="0.25">
      <c r="A46" s="1">
        <v>45332</v>
      </c>
      <c r="B46" t="s">
        <v>7</v>
      </c>
      <c r="C46" t="s">
        <v>8</v>
      </c>
      <c r="D46">
        <v>2023</v>
      </c>
      <c r="E46">
        <v>38000</v>
      </c>
      <c r="F46">
        <v>2</v>
      </c>
      <c r="G46">
        <v>76000</v>
      </c>
    </row>
    <row r="47" spans="1:7" x14ac:dyDescent="0.25">
      <c r="A47" s="1">
        <v>45587</v>
      </c>
      <c r="B47" t="s">
        <v>7</v>
      </c>
      <c r="C47" t="s">
        <v>8</v>
      </c>
      <c r="D47">
        <v>2020</v>
      </c>
      <c r="E47">
        <v>38000</v>
      </c>
      <c r="F47">
        <v>2</v>
      </c>
      <c r="G47">
        <v>76000</v>
      </c>
    </row>
    <row r="48" spans="1:7" x14ac:dyDescent="0.25">
      <c r="A48" s="1">
        <v>45299</v>
      </c>
      <c r="B48" t="s">
        <v>7</v>
      </c>
      <c r="C48" t="s">
        <v>9</v>
      </c>
      <c r="D48">
        <v>2016</v>
      </c>
      <c r="E48">
        <v>55000</v>
      </c>
      <c r="F48">
        <v>2</v>
      </c>
      <c r="G48">
        <v>110000</v>
      </c>
    </row>
    <row r="49" spans="1:7" x14ac:dyDescent="0.25">
      <c r="A49" s="1">
        <v>45588</v>
      </c>
      <c r="B49" t="s">
        <v>7</v>
      </c>
      <c r="C49" t="s">
        <v>10</v>
      </c>
      <c r="D49">
        <v>2017</v>
      </c>
      <c r="E49">
        <v>42000</v>
      </c>
      <c r="F49">
        <v>2</v>
      </c>
      <c r="G49">
        <v>84000</v>
      </c>
    </row>
    <row r="50" spans="1:7" x14ac:dyDescent="0.25">
      <c r="A50" s="1">
        <v>45597</v>
      </c>
      <c r="B50" t="s">
        <v>7</v>
      </c>
      <c r="C50" t="s">
        <v>10</v>
      </c>
      <c r="D50">
        <v>2016</v>
      </c>
      <c r="E50">
        <v>42000</v>
      </c>
      <c r="F50">
        <v>3</v>
      </c>
      <c r="G50">
        <v>126000</v>
      </c>
    </row>
    <row r="51" spans="1:7" x14ac:dyDescent="0.25">
      <c r="A51" s="1">
        <v>45326</v>
      </c>
      <c r="B51" t="s">
        <v>7</v>
      </c>
      <c r="C51" t="s">
        <v>10</v>
      </c>
      <c r="D51">
        <v>2020</v>
      </c>
      <c r="E51">
        <v>42000</v>
      </c>
      <c r="F51">
        <v>1</v>
      </c>
      <c r="G51">
        <v>42000</v>
      </c>
    </row>
    <row r="52" spans="1:7" x14ac:dyDescent="0.25">
      <c r="A52" s="1">
        <v>45586</v>
      </c>
      <c r="B52" t="s">
        <v>7</v>
      </c>
      <c r="C52" t="s">
        <v>9</v>
      </c>
      <c r="D52">
        <v>2020</v>
      </c>
      <c r="E52">
        <v>55000</v>
      </c>
      <c r="F52">
        <v>3</v>
      </c>
      <c r="G52">
        <v>165000</v>
      </c>
    </row>
    <row r="53" spans="1:7" x14ac:dyDescent="0.25">
      <c r="A53" s="1">
        <v>45628</v>
      </c>
      <c r="B53" t="s">
        <v>7</v>
      </c>
      <c r="C53" t="s">
        <v>10</v>
      </c>
      <c r="D53">
        <v>2016</v>
      </c>
      <c r="E53">
        <v>42000</v>
      </c>
      <c r="F53">
        <v>2</v>
      </c>
      <c r="G53">
        <v>84000</v>
      </c>
    </row>
    <row r="54" spans="1:7" x14ac:dyDescent="0.25">
      <c r="A54" s="1">
        <v>45339</v>
      </c>
      <c r="B54" t="s">
        <v>7</v>
      </c>
      <c r="C54" t="s">
        <v>8</v>
      </c>
      <c r="D54">
        <v>2021</v>
      </c>
      <c r="E54">
        <v>38000</v>
      </c>
      <c r="F54">
        <v>2</v>
      </c>
      <c r="G54">
        <v>76000</v>
      </c>
    </row>
    <row r="55" spans="1:7" x14ac:dyDescent="0.25">
      <c r="A55" s="1">
        <v>45654</v>
      </c>
      <c r="B55" t="s">
        <v>7</v>
      </c>
      <c r="C55" t="s">
        <v>9</v>
      </c>
      <c r="D55">
        <v>2023</v>
      </c>
      <c r="E55">
        <v>55000</v>
      </c>
      <c r="F55">
        <v>2</v>
      </c>
      <c r="G55">
        <v>110000</v>
      </c>
    </row>
    <row r="56" spans="1:7" x14ac:dyDescent="0.25">
      <c r="A56" s="1">
        <v>45342</v>
      </c>
      <c r="B56" t="s">
        <v>7</v>
      </c>
      <c r="C56" t="s">
        <v>8</v>
      </c>
      <c r="D56">
        <v>2017</v>
      </c>
      <c r="E56">
        <v>38000</v>
      </c>
      <c r="F56">
        <v>3</v>
      </c>
      <c r="G56">
        <v>114000</v>
      </c>
    </row>
    <row r="57" spans="1:7" x14ac:dyDescent="0.25">
      <c r="A57" s="1">
        <v>45576</v>
      </c>
      <c r="B57" t="s">
        <v>7</v>
      </c>
      <c r="C57" t="s">
        <v>10</v>
      </c>
      <c r="D57">
        <v>2018</v>
      </c>
      <c r="E57">
        <v>42000</v>
      </c>
      <c r="F57">
        <v>2</v>
      </c>
      <c r="G57">
        <v>84000</v>
      </c>
    </row>
    <row r="58" spans="1:7" x14ac:dyDescent="0.25">
      <c r="A58" s="1">
        <v>45550</v>
      </c>
      <c r="B58" t="s">
        <v>7</v>
      </c>
      <c r="C58" t="s">
        <v>9</v>
      </c>
      <c r="D58">
        <v>2022</v>
      </c>
      <c r="E58">
        <v>55000</v>
      </c>
      <c r="F58">
        <v>2</v>
      </c>
      <c r="G58">
        <v>110000</v>
      </c>
    </row>
    <row r="59" spans="1:7" x14ac:dyDescent="0.25">
      <c r="A59" s="1">
        <v>45406</v>
      </c>
      <c r="B59" t="s">
        <v>7</v>
      </c>
      <c r="C59" t="s">
        <v>10</v>
      </c>
      <c r="D59">
        <v>2017</v>
      </c>
      <c r="E59">
        <v>42000</v>
      </c>
      <c r="F59">
        <v>3</v>
      </c>
      <c r="G59">
        <v>126000</v>
      </c>
    </row>
    <row r="60" spans="1:7" x14ac:dyDescent="0.25">
      <c r="A60" s="1">
        <v>45369</v>
      </c>
      <c r="B60" t="s">
        <v>7</v>
      </c>
      <c r="C60" t="s">
        <v>9</v>
      </c>
      <c r="D60">
        <v>2019</v>
      </c>
      <c r="E60">
        <v>55000</v>
      </c>
      <c r="F60">
        <v>2</v>
      </c>
      <c r="G60">
        <v>110000</v>
      </c>
    </row>
    <row r="61" spans="1:7" x14ac:dyDescent="0.25">
      <c r="A61" s="1">
        <v>45488</v>
      </c>
      <c r="B61" t="s">
        <v>7</v>
      </c>
      <c r="C61" t="s">
        <v>10</v>
      </c>
      <c r="D61">
        <v>2021</v>
      </c>
      <c r="E61">
        <v>42000</v>
      </c>
      <c r="F61">
        <v>2</v>
      </c>
      <c r="G61">
        <v>84000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f>SUM(Base_Dados!G:G)</f>
        <v>5367000</v>
      </c>
    </row>
    <row r="3" spans="1:2" x14ac:dyDescent="0.25">
      <c r="A3" t="s">
        <v>14</v>
      </c>
      <c r="B3">
        <f>SUM(Base_Dados!F:F)</f>
        <v>118</v>
      </c>
    </row>
    <row r="4" spans="1:2" x14ac:dyDescent="0.25">
      <c r="A4" t="s">
        <v>15</v>
      </c>
      <c r="B4">
        <f>B2/B3</f>
        <v>45483.050847457627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9"/>
  <sheetViews>
    <sheetView workbookViewId="0">
      <selection activeCell="C5" sqref="C5"/>
    </sheetView>
  </sheetViews>
  <sheetFormatPr defaultRowHeight="15" x14ac:dyDescent="0.25"/>
  <cols>
    <col min="2" max="2" width="54.42578125" bestFit="1" customWidth="1"/>
    <col min="5" max="5" width="11.85546875" bestFit="1" customWidth="1"/>
    <col min="6" max="6" width="12.42578125" bestFit="1" customWidth="1"/>
  </cols>
  <sheetData>
    <row r="2" spans="2:6" ht="23.25" x14ac:dyDescent="0.35">
      <c r="B2" s="2" t="s">
        <v>16</v>
      </c>
    </row>
    <row r="3" spans="2:6" x14ac:dyDescent="0.25">
      <c r="B3" s="3" t="s">
        <v>17</v>
      </c>
    </row>
    <row r="5" spans="2:6" ht="18.75" x14ac:dyDescent="0.3">
      <c r="B5" s="4" t="s">
        <v>18</v>
      </c>
      <c r="C5" s="5">
        <f>KPIs!B2</f>
        <v>5367000</v>
      </c>
      <c r="E5" t="s">
        <v>2</v>
      </c>
      <c r="F5" t="s">
        <v>6</v>
      </c>
    </row>
    <row r="6" spans="2:6" x14ac:dyDescent="0.25">
      <c r="E6" t="s">
        <v>8</v>
      </c>
      <c r="F6">
        <v>1406000</v>
      </c>
    </row>
    <row r="7" spans="2:6" ht="18.75" x14ac:dyDescent="0.3">
      <c r="B7" s="4" t="s">
        <v>19</v>
      </c>
      <c r="C7" s="5">
        <f>KPIs!B3</f>
        <v>118</v>
      </c>
      <c r="E7" t="s">
        <v>9</v>
      </c>
      <c r="F7">
        <v>2365000</v>
      </c>
    </row>
    <row r="8" spans="2:6" x14ac:dyDescent="0.25">
      <c r="E8" t="s">
        <v>10</v>
      </c>
      <c r="F8">
        <v>1596000</v>
      </c>
    </row>
    <row r="9" spans="2:6" ht="18.75" x14ac:dyDescent="0.3">
      <c r="B9" s="4" t="s">
        <v>20</v>
      </c>
      <c r="C9" s="5">
        <f>KPIs!B4</f>
        <v>45483.050847457627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Base_Dados</vt:lpstr>
      <vt:lpstr>KPIs</vt:lpstr>
      <vt:lpstr>Dashboard_Modelo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Ferreira Leite</cp:lastModifiedBy>
  <dcterms:created xsi:type="dcterms:W3CDTF">2025-12-24T12:29:03Z</dcterms:created>
  <dcterms:modified xsi:type="dcterms:W3CDTF">2025-12-24T12:57:22Z</dcterms:modified>
</cp:coreProperties>
</file>